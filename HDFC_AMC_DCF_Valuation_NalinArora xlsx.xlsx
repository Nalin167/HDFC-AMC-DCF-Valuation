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2BBB371B-33BC-4E66-89E2-5C5299D4429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CF" sheetId="6" r:id="rId1"/>
    <sheet name="WACC" sheetId="8" r:id="rId2"/>
    <sheet name="Assumptions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8" l="1"/>
  <c r="D20" i="8"/>
  <c r="D8" i="6" s="1"/>
  <c r="D18" i="8"/>
  <c r="F29" i="6"/>
  <c r="G29" i="6"/>
  <c r="H29" i="6"/>
  <c r="I29" i="6"/>
  <c r="E29" i="6"/>
  <c r="F26" i="6"/>
  <c r="G26" i="6"/>
  <c r="H26" i="6"/>
  <c r="I26" i="6"/>
  <c r="E26" i="6"/>
  <c r="F23" i="6"/>
  <c r="G23" i="6"/>
  <c r="H23" i="6"/>
  <c r="I23" i="6"/>
  <c r="E23" i="6"/>
  <c r="F38" i="6"/>
  <c r="G38" i="6"/>
  <c r="H38" i="6"/>
  <c r="I38" i="6"/>
  <c r="E38" i="6"/>
  <c r="F19" i="6"/>
  <c r="G19" i="6"/>
  <c r="H19" i="6"/>
  <c r="I19" i="6"/>
  <c r="E19" i="6"/>
  <c r="J12" i="6"/>
  <c r="F35" i="6"/>
  <c r="G35" i="6"/>
  <c r="H35" i="6"/>
  <c r="I35" i="6"/>
  <c r="E35" i="6"/>
  <c r="F32" i="6"/>
  <c r="G32" i="6"/>
  <c r="G33" i="6" s="1"/>
  <c r="H32" i="6"/>
  <c r="H33" i="6" s="1"/>
  <c r="I32" i="6"/>
  <c r="I33" i="6" s="1"/>
  <c r="E32" i="6"/>
  <c r="F16" i="6"/>
  <c r="G16" i="6"/>
  <c r="H16" i="6"/>
  <c r="I16" i="6"/>
  <c r="E16" i="6"/>
  <c r="J13" i="6"/>
  <c r="J33" i="6" s="1"/>
  <c r="J32" i="6" s="1"/>
  <c r="I13" i="6"/>
  <c r="H13" i="6"/>
  <c r="G13" i="6"/>
  <c r="F13" i="6"/>
  <c r="K12" i="6" l="1"/>
  <c r="J15" i="6"/>
  <c r="J22" i="6"/>
  <c r="J25" i="6"/>
  <c r="N50" i="6"/>
  <c r="M50" i="6"/>
  <c r="L50" i="6"/>
  <c r="J50" i="6"/>
  <c r="J49" i="6" s="1"/>
  <c r="K50" i="6"/>
  <c r="F33" i="6"/>
  <c r="E36" i="6"/>
  <c r="I36" i="6"/>
  <c r="H36" i="6"/>
  <c r="G36" i="6"/>
  <c r="F36" i="6"/>
  <c r="J18" i="6"/>
  <c r="J19" i="6" s="1"/>
  <c r="J39" i="6" s="1"/>
  <c r="J16" i="6"/>
  <c r="J36" i="6" s="1"/>
  <c r="J35" i="6" s="1"/>
  <c r="E39" i="6"/>
  <c r="I39" i="6"/>
  <c r="H39" i="6"/>
  <c r="G39" i="6"/>
  <c r="F39" i="6"/>
  <c r="J46" i="6" l="1"/>
  <c r="J47" i="6" s="1"/>
  <c r="J26" i="6"/>
  <c r="J43" i="6"/>
  <c r="J44" i="6" s="1"/>
  <c r="J23" i="6"/>
  <c r="L12" i="6"/>
  <c r="K15" i="6"/>
  <c r="K22" i="6"/>
  <c r="K25" i="6"/>
  <c r="K13" i="6"/>
  <c r="K33" i="6" s="1"/>
  <c r="K32" i="6" s="1"/>
  <c r="J38" i="6"/>
  <c r="J41" i="6" s="1"/>
  <c r="J52" i="6" s="1"/>
  <c r="J53" i="6" s="1"/>
  <c r="K18" i="6"/>
  <c r="K19" i="6" s="1"/>
  <c r="K39" i="6" s="1"/>
  <c r="K16" i="6"/>
  <c r="K36" i="6" s="1"/>
  <c r="K35" i="6" s="1"/>
  <c r="K49" i="6" l="1"/>
  <c r="K46" i="6"/>
  <c r="K47" i="6" s="1"/>
  <c r="K26" i="6"/>
  <c r="K43" i="6"/>
  <c r="K44" i="6" s="1"/>
  <c r="K23" i="6"/>
  <c r="M12" i="6"/>
  <c r="L15" i="6"/>
  <c r="L22" i="6"/>
  <c r="L25" i="6"/>
  <c r="L13" i="6"/>
  <c r="L33" i="6" s="1"/>
  <c r="L32" i="6" s="1"/>
  <c r="L18" i="6"/>
  <c r="L19" i="6" s="1"/>
  <c r="L39" i="6" s="1"/>
  <c r="L16" i="6"/>
  <c r="L36" i="6" s="1"/>
  <c r="L35" i="6" s="1"/>
  <c r="K38" i="6"/>
  <c r="K41" i="6" s="1"/>
  <c r="K52" i="6" s="1"/>
  <c r="K53" i="6" s="1"/>
  <c r="L49" i="6" l="1"/>
  <c r="L46" i="6"/>
  <c r="L47" i="6" s="1"/>
  <c r="L26" i="6"/>
  <c r="L43" i="6"/>
  <c r="L44" i="6" s="1"/>
  <c r="L23" i="6"/>
  <c r="M15" i="6"/>
  <c r="M22" i="6"/>
  <c r="M25" i="6"/>
  <c r="M13" i="6"/>
  <c r="M33" i="6" s="1"/>
  <c r="M32" i="6" s="1"/>
  <c r="N12" i="6"/>
  <c r="M18" i="6"/>
  <c r="M19" i="6" s="1"/>
  <c r="M39" i="6" s="1"/>
  <c r="M16" i="6"/>
  <c r="M36" i="6" s="1"/>
  <c r="M35" i="6" s="1"/>
  <c r="L38" i="6"/>
  <c r="L41" i="6" s="1"/>
  <c r="L52" i="6" s="1"/>
  <c r="L53" i="6" s="1"/>
  <c r="N15" i="6" l="1"/>
  <c r="N13" i="6"/>
  <c r="N33" i="6" s="1"/>
  <c r="N22" i="6"/>
  <c r="N25" i="6"/>
  <c r="M49" i="6"/>
  <c r="N32" i="6"/>
  <c r="N49" i="6" s="1"/>
  <c r="M46" i="6"/>
  <c r="M47" i="6" s="1"/>
  <c r="M26" i="6"/>
  <c r="M43" i="6"/>
  <c r="M44" i="6" s="1"/>
  <c r="M23" i="6"/>
  <c r="N18" i="6"/>
  <c r="N19" i="6" s="1"/>
  <c r="N39" i="6" s="1"/>
  <c r="N16" i="6"/>
  <c r="N36" i="6" s="1"/>
  <c r="N35" i="6" s="1"/>
  <c r="M38" i="6"/>
  <c r="M41" i="6" s="1"/>
  <c r="M52" i="6" s="1"/>
  <c r="M53" i="6" s="1"/>
  <c r="N46" i="6" l="1"/>
  <c r="N47" i="6" s="1"/>
  <c r="N26" i="6"/>
  <c r="N43" i="6"/>
  <c r="N44" i="6" s="1"/>
  <c r="N23" i="6"/>
  <c r="N38" i="6"/>
  <c r="N41" i="6" s="1"/>
  <c r="N52" i="6" s="1"/>
  <c r="N53" i="6" l="1"/>
  <c r="N55" i="6"/>
  <c r="N56" i="6" s="1"/>
  <c r="N57" i="6" l="1"/>
  <c r="N60" i="6" s="1"/>
  <c r="N62" i="6" s="1"/>
  <c r="G3" i="6" s="1"/>
  <c r="K4" i="6" s="1"/>
</calcChain>
</file>

<file path=xl/sharedStrings.xml><?xml version="1.0" encoding="utf-8"?>
<sst xmlns="http://schemas.openxmlformats.org/spreadsheetml/2006/main" count="87" uniqueCount="63">
  <si>
    <t>HDFC AMC COMPANY LTD</t>
  </si>
  <si>
    <t>x</t>
  </si>
  <si>
    <t>Ticker</t>
  </si>
  <si>
    <t>HDFC AMC</t>
  </si>
  <si>
    <t>Implied Share Price</t>
  </si>
  <si>
    <t>Date</t>
  </si>
  <si>
    <t>Today's Share Price</t>
  </si>
  <si>
    <t>Upside</t>
  </si>
  <si>
    <t>Assumptions</t>
  </si>
  <si>
    <t>Valuation Assumptions</t>
  </si>
  <si>
    <t>WACC</t>
  </si>
  <si>
    <t>TGR</t>
  </si>
  <si>
    <t xml:space="preserve">Income Statement </t>
  </si>
  <si>
    <t>Revenue</t>
  </si>
  <si>
    <t>% growth</t>
  </si>
  <si>
    <t>EBIT</t>
  </si>
  <si>
    <t>% of sales</t>
  </si>
  <si>
    <t>Taxes</t>
  </si>
  <si>
    <t>% of EBIT</t>
  </si>
  <si>
    <t>Cash Flow Items</t>
  </si>
  <si>
    <t>D&amp;A</t>
  </si>
  <si>
    <t>CapEx</t>
  </si>
  <si>
    <t>Change in NWC</t>
  </si>
  <si>
    <t>DCF</t>
  </si>
  <si>
    <t>% margin</t>
  </si>
  <si>
    <t>EBIAT</t>
  </si>
  <si>
    <t>%. of sales</t>
  </si>
  <si>
    <t>Unlevered FCF</t>
  </si>
  <si>
    <t>Present Value of FCF</t>
  </si>
  <si>
    <t>Terminal Value</t>
  </si>
  <si>
    <t>Present Value of Terminal Value</t>
  </si>
  <si>
    <t>Enterprise Value</t>
  </si>
  <si>
    <t>(+) Cash</t>
  </si>
  <si>
    <t>(-) Debt</t>
  </si>
  <si>
    <t>Equity Value</t>
  </si>
  <si>
    <t>Shares</t>
  </si>
  <si>
    <t>Share Price</t>
  </si>
  <si>
    <t>WACC = ((% Equity * Cost of Equity) + (% Debt * Cost of Debt * (1-tax rate))</t>
  </si>
  <si>
    <t>Cost of Equity = Risk Free Rate + (Beta * (Market Rate Premium/Equity Risk Premiuim)</t>
  </si>
  <si>
    <t>Debt</t>
  </si>
  <si>
    <t>%Debt</t>
  </si>
  <si>
    <t>Cost of Debt</t>
  </si>
  <si>
    <t>Tax Rate</t>
  </si>
  <si>
    <t>%Equity</t>
  </si>
  <si>
    <t xml:space="preserve">Cost of Equity </t>
  </si>
  <si>
    <t>Risk Free Rate</t>
  </si>
  <si>
    <t>Beta</t>
  </si>
  <si>
    <t>Market Rate Premiuim</t>
  </si>
  <si>
    <t>Debt + Equity</t>
  </si>
  <si>
    <t xml:space="preserve">WACC </t>
  </si>
  <si>
    <t>REVENEUE ASSUMPTIONS</t>
  </si>
  <si>
    <t>AUM Growth Rate FY26</t>
  </si>
  <si>
    <t>AUM Growth Rate FY27</t>
  </si>
  <si>
    <t>AUM Growth Rate FY28</t>
  </si>
  <si>
    <t>AUM Growth Rate FY29</t>
  </si>
  <si>
    <t>AUM Growth Rate FY30</t>
  </si>
  <si>
    <t>Fee Yield(bps)</t>
  </si>
  <si>
    <t>MARGIN ASSUMPTIONS</t>
  </si>
  <si>
    <t>EBIT Margin</t>
  </si>
  <si>
    <t>Depreciation(% of Revenue)</t>
  </si>
  <si>
    <t>Capes(% of revenue)</t>
  </si>
  <si>
    <t xml:space="preserve">Change in NWC 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</si>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</sst>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B05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9" fontId="0" fillId="0" borderId="0" xfId="0" applyNumberFormat="1"/>
    <xf numFmtId="0" fontId="3" fillId="0" borderId="0" xfId="0" applyFont="1"/>
    <xf numFmtId="0" fontId="4" fillId="0" borderId="0" xfId="0" applyFont="1"/>
    <xf numFmtId="1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 applyBorder="1"/>
    <xf numFmtId="14" fontId="0" fillId="3" borderId="0" xfId="0" applyNumberFormat="1" applyFill="1" applyBorder="1"/>
    <xf numFmtId="0" fontId="0" fillId="4" borderId="0" xfId="0" applyFill="1"/>
    <xf numFmtId="0" fontId="6" fillId="4" borderId="0" xfId="0" applyFont="1" applyFill="1"/>
    <xf numFmtId="0" fontId="8" fillId="0" borderId="0" xfId="0" applyFont="1"/>
    <xf numFmtId="0" fontId="0" fillId="0" borderId="0" xfId="0" applyBorder="1"/>
    <xf numFmtId="0" fontId="7" fillId="0" borderId="0" xfId="0" applyFont="1" applyBorder="1" applyAlignment="1">
      <alignment vertical="center"/>
    </xf>
    <xf numFmtId="0" fontId="2" fillId="4" borderId="0" xfId="0" applyFont="1" applyFill="1" applyAlignment="1"/>
    <xf numFmtId="0" fontId="9" fillId="0" borderId="0" xfId="0" applyFont="1"/>
    <xf numFmtId="0" fontId="6" fillId="4" borderId="0" xfId="0" applyFont="1" applyFill="1" applyAlignment="1">
      <alignment vertical="center"/>
    </xf>
    <xf numFmtId="0" fontId="0" fillId="0" borderId="5" xfId="0" applyBorder="1"/>
    <xf numFmtId="0" fontId="7" fillId="0" borderId="5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0" fillId="4" borderId="0" xfId="0" applyFill="1" applyBorder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/>
    <xf numFmtId="0" fontId="0" fillId="0" borderId="6" xfId="0" applyBorder="1"/>
    <xf numFmtId="0" fontId="6" fillId="4" borderId="6" xfId="0" applyFont="1" applyFill="1" applyBorder="1" applyAlignment="1">
      <alignment horizontal="center"/>
    </xf>
    <xf numFmtId="0" fontId="0" fillId="0" borderId="0" xfId="0" applyAlignment="1"/>
    <xf numFmtId="14" fontId="0" fillId="5" borderId="1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1" fillId="4" borderId="0" xfId="0" applyFont="1" applyFill="1"/>
    <xf numFmtId="44" fontId="10" fillId="0" borderId="0" xfId="0" applyNumberFormat="1" applyFont="1" applyBorder="1" applyAlignment="1">
      <alignment wrapText="1"/>
    </xf>
    <xf numFmtId="44" fontId="10" fillId="0" borderId="0" xfId="0" applyNumberFormat="1" applyFont="1" applyAlignment="1">
      <alignment wrapText="1"/>
    </xf>
    <xf numFmtId="44" fontId="0" fillId="0" borderId="0" xfId="0" applyNumberFormat="1"/>
    <xf numFmtId="0" fontId="3" fillId="0" borderId="4" xfId="0" applyFont="1" applyBorder="1" applyAlignment="1">
      <alignment wrapText="1"/>
    </xf>
    <xf numFmtId="0" fontId="0" fillId="0" borderId="8" xfId="0" applyBorder="1"/>
    <xf numFmtId="0" fontId="0" fillId="0" borderId="10" xfId="0" applyBorder="1"/>
    <xf numFmtId="0" fontId="6" fillId="4" borderId="6" xfId="0" applyFont="1" applyFill="1" applyBorder="1" applyAlignment="1">
      <alignment vertical="center"/>
    </xf>
    <xf numFmtId="44" fontId="10" fillId="0" borderId="0" xfId="1" applyNumberFormat="1" applyFont="1" applyBorder="1" applyAlignment="1"/>
    <xf numFmtId="44" fontId="10" fillId="0" borderId="6" xfId="1" applyNumberFormat="1" applyFont="1" applyBorder="1" applyAlignment="1"/>
    <xf numFmtId="44" fontId="10" fillId="0" borderId="0" xfId="0" applyNumberFormat="1" applyFont="1" applyAlignment="1"/>
    <xf numFmtId="10" fontId="0" fillId="0" borderId="0" xfId="0" applyNumberFormat="1" applyAlignment="1"/>
    <xf numFmtId="10" fontId="0" fillId="0" borderId="6" xfId="0" applyNumberFormat="1" applyBorder="1" applyAlignment="1"/>
    <xf numFmtId="0" fontId="0" fillId="0" borderId="6" xfId="0" applyBorder="1" applyAlignment="1"/>
    <xf numFmtId="44" fontId="10" fillId="0" borderId="6" xfId="0" applyNumberFormat="1" applyFont="1" applyBorder="1" applyAlignment="1"/>
    <xf numFmtId="44" fontId="10" fillId="0" borderId="0" xfId="0" applyNumberFormat="1" applyFont="1" applyBorder="1" applyAlignment="1"/>
    <xf numFmtId="0" fontId="6" fillId="4" borderId="0" xfId="0" applyFont="1" applyFill="1" applyAlignment="1">
      <alignment horizontal="right"/>
    </xf>
    <xf numFmtId="44" fontId="1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44" fontId="10" fillId="0" borderId="6" xfId="0" applyNumberFormat="1" applyFont="1" applyBorder="1" applyAlignment="1">
      <alignment horizontal="right"/>
    </xf>
    <xf numFmtId="0" fontId="6" fillId="4" borderId="6" xfId="0" applyFont="1" applyFill="1" applyBorder="1" applyAlignment="1">
      <alignment horizontal="right"/>
    </xf>
    <xf numFmtId="44" fontId="5" fillId="0" borderId="0" xfId="0" applyNumberFormat="1" applyFont="1" applyAlignment="1">
      <alignment horizontal="right"/>
    </xf>
    <xf numFmtId="0" fontId="0" fillId="0" borderId="0" xfId="0" applyBorder="1" applyAlignment="1">
      <alignment horizontal="right"/>
    </xf>
    <xf numFmtId="44" fontId="12" fillId="0" borderId="0" xfId="0" applyNumberFormat="1" applyFont="1" applyAlignment="1">
      <alignment horizontal="right"/>
    </xf>
    <xf numFmtId="44" fontId="12" fillId="0" borderId="6" xfId="0" applyNumberFormat="1" applyFont="1" applyBorder="1" applyAlignment="1">
      <alignment horizontal="right"/>
    </xf>
    <xf numFmtId="44" fontId="0" fillId="0" borderId="0" xfId="0" applyNumberFormat="1" applyAlignment="1">
      <alignment horizontal="right"/>
    </xf>
    <xf numFmtId="10" fontId="12" fillId="0" borderId="0" xfId="0" applyNumberFormat="1" applyFont="1" applyAlignment="1">
      <alignment horizontal="right"/>
    </xf>
    <xf numFmtId="44" fontId="0" fillId="0" borderId="8" xfId="0" applyNumberFormat="1" applyBorder="1" applyAlignment="1">
      <alignment horizontal="right"/>
    </xf>
    <xf numFmtId="0" fontId="3" fillId="0" borderId="0" xfId="0" applyFont="1" applyBorder="1" applyAlignment="1"/>
    <xf numFmtId="0" fontId="0" fillId="5" borderId="3" xfId="0" applyFill="1" applyBorder="1"/>
    <xf numFmtId="10" fontId="0" fillId="5" borderId="3" xfId="0" applyNumberFormat="1" applyFill="1" applyBorder="1"/>
    <xf numFmtId="9" fontId="0" fillId="5" borderId="1" xfId="0" applyNumberFormat="1" applyFill="1" applyBorder="1"/>
    <xf numFmtId="10" fontId="0" fillId="5" borderId="1" xfId="0" applyNumberFormat="1" applyFill="1" applyBorder="1"/>
    <xf numFmtId="0" fontId="0" fillId="6" borderId="8" xfId="0" applyFill="1" applyBorder="1"/>
    <xf numFmtId="10" fontId="3" fillId="6" borderId="9" xfId="0" applyNumberFormat="1" applyFont="1" applyFill="1" applyBorder="1"/>
    <xf numFmtId="0" fontId="3" fillId="6" borderId="4" xfId="0" applyFont="1" applyFill="1" applyBorder="1"/>
    <xf numFmtId="10" fontId="3" fillId="5" borderId="1" xfId="0" applyNumberFormat="1" applyFont="1" applyFill="1" applyBorder="1"/>
    <xf numFmtId="10" fontId="0" fillId="5" borderId="12" xfId="0" applyNumberFormat="1" applyFill="1" applyBorder="1"/>
    <xf numFmtId="9" fontId="0" fillId="5" borderId="1" xfId="0" applyNumberFormat="1" applyFont="1" applyFill="1" applyBorder="1"/>
    <xf numFmtId="0" fontId="3" fillId="0" borderId="4" xfId="0" applyFont="1" applyBorder="1" applyAlignment="1"/>
    <xf numFmtId="0" fontId="3" fillId="0" borderId="8" xfId="0" applyFont="1" applyBorder="1"/>
    <xf numFmtId="44" fontId="0" fillId="0" borderId="9" xfId="0" applyNumberFormat="1" applyBorder="1" applyAlignment="1">
      <alignment horizontal="right"/>
    </xf>
    <xf numFmtId="0" fontId="0" fillId="2" borderId="5" xfId="0" applyFill="1" applyBorder="1" applyAlignment="1"/>
    <xf numFmtId="0" fontId="0" fillId="2" borderId="5" xfId="0" applyFill="1" applyBorder="1"/>
    <xf numFmtId="0" fontId="3" fillId="2" borderId="11" xfId="0" applyFont="1" applyFill="1" applyBorder="1" applyAlignment="1"/>
    <xf numFmtId="0" fontId="3" fillId="2" borderId="5" xfId="0" applyFont="1" applyFill="1" applyBorder="1"/>
    <xf numFmtId="0" fontId="0" fillId="2" borderId="7" xfId="0" applyFill="1" applyBorder="1"/>
    <xf numFmtId="44" fontId="0" fillId="0" borderId="1" xfId="0" applyNumberFormat="1" applyBorder="1" applyAlignment="1">
      <alignment horizontal="right" wrapText="1"/>
    </xf>
    <xf numFmtId="44" fontId="0" fillId="0" borderId="1" xfId="0" applyNumberFormat="1" applyBorder="1" applyAlignment="1">
      <alignment horizontal="right"/>
    </xf>
    <xf numFmtId="44" fontId="0" fillId="0" borderId="2" xfId="0" applyNumberFormat="1" applyBorder="1" applyAlignment="1">
      <alignment horizontal="right"/>
    </xf>
    <xf numFmtId="44" fontId="9" fillId="0" borderId="1" xfId="0" applyNumberFormat="1" applyFont="1" applyBorder="1" applyAlignment="1">
      <alignment horizontal="right"/>
    </xf>
    <xf numFmtId="44" fontId="3" fillId="0" borderId="0" xfId="0" applyNumberFormat="1" applyFont="1" applyAlignment="1">
      <alignment horizontal="right"/>
    </xf>
    <xf numFmtId="44" fontId="3" fillId="2" borderId="2" xfId="0" applyNumberFormat="1" applyFont="1" applyFill="1" applyBorder="1" applyAlignment="1">
      <alignment horizontal="right"/>
    </xf>
    <xf numFmtId="44" fontId="3" fillId="2" borderId="5" xfId="0" applyNumberFormat="1" applyFont="1" applyFill="1" applyBorder="1" applyAlignment="1">
      <alignment horizontal="right"/>
    </xf>
    <xf numFmtId="0" fontId="3" fillId="2" borderId="0" xfId="0" applyFont="1" applyFill="1"/>
    <xf numFmtId="0" fontId="0" fillId="2" borderId="0" xfId="0" applyFill="1" applyBorder="1"/>
    <xf numFmtId="10" fontId="3" fillId="0" borderId="1" xfId="0" applyNumberFormat="1" applyFont="1" applyBorder="1"/>
    <xf numFmtId="44" fontId="3" fillId="0" borderId="2" xfId="0" applyNumberFormat="1" applyFont="1" applyBorder="1"/>
    <xf numFmtId="44" fontId="3" fillId="0" borderId="1" xfId="0" applyNumberFormat="1" applyFont="1" applyBorder="1"/>
    <xf numFmtId="44" fontId="3" fillId="2" borderId="0" xfId="0" applyNumberFormat="1" applyFont="1" applyFill="1"/>
    <xf numFmtId="0" fontId="13" fillId="0" borderId="0" xfId="0" applyFont="1"/>
    <xf numFmtId="10" fontId="0" fillId="0" borderId="0" xfId="0" applyNumberFormat="1" applyFont="1"/>
    <xf numFmtId="10" fontId="0" fillId="0" borderId="0" xfId="0" applyNumberFormat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158E-6FED-4C66-B01E-84A0680AC7E7}">
  <dimension ref="A1:P72"/>
  <sheetViews>
    <sheetView showGridLines="0" tabSelected="1" topLeftCell="A61" workbookViewId="0">
      <selection activeCell="F67" sqref="F67"/>
    </sheetView>
  </sheetViews>
  <sheetFormatPr defaultRowHeight="15"/>
  <cols>
    <col min="1" max="1" width="1.7109375" bestFit="1" customWidth="1"/>
    <col min="2" max="4" width="12.7109375" customWidth="1"/>
    <col min="5" max="5" width="17.7109375" bestFit="1" customWidth="1"/>
    <col min="6" max="8" width="12.7109375" customWidth="1"/>
    <col min="9" max="9" width="12.7109375" style="12" customWidth="1"/>
    <col min="10" max="14" width="12.7109375" customWidth="1"/>
  </cols>
  <sheetData>
    <row r="1" spans="1:14" s="12" customFormat="1" ht="16.5" customHeight="1">
      <c r="A1" s="13"/>
      <c r="B1" s="94" t="s">
        <v>0</v>
      </c>
      <c r="C1" s="94"/>
      <c r="D1" s="94"/>
      <c r="E1" s="94"/>
      <c r="F1" s="13"/>
      <c r="G1" s="13"/>
    </row>
    <row r="2" spans="1:14" s="17" customFormat="1" ht="15.75" customHeight="1">
      <c r="A2" s="18"/>
      <c r="B2" s="95"/>
      <c r="C2" s="95"/>
      <c r="D2" s="95"/>
      <c r="E2" s="95"/>
      <c r="F2" s="18"/>
      <c r="G2" s="18"/>
    </row>
    <row r="3" spans="1:14">
      <c r="A3" t="s">
        <v>1</v>
      </c>
      <c r="B3" s="7" t="s">
        <v>2</v>
      </c>
      <c r="C3" s="27" t="s">
        <v>3</v>
      </c>
      <c r="E3" t="s">
        <v>4</v>
      </c>
      <c r="G3" s="88">
        <f>N62</f>
        <v>2882.587473655899</v>
      </c>
      <c r="K3" s="12"/>
    </row>
    <row r="4" spans="1:14">
      <c r="B4" s="8" t="s">
        <v>5</v>
      </c>
      <c r="C4" s="26">
        <v>46105</v>
      </c>
      <c r="E4" t="s">
        <v>6</v>
      </c>
      <c r="G4" s="89">
        <v>2314</v>
      </c>
      <c r="I4" s="12" t="s">
        <v>7</v>
      </c>
      <c r="J4" s="12"/>
      <c r="K4" s="87">
        <f>(G3-G4)/G4</f>
        <v>0.24571628075017241</v>
      </c>
    </row>
    <row r="5" spans="1:14">
      <c r="I5" s="19"/>
    </row>
    <row r="6" spans="1:14">
      <c r="A6" t="s">
        <v>1</v>
      </c>
      <c r="B6" s="10" t="s">
        <v>8</v>
      </c>
      <c r="C6" s="9"/>
      <c r="D6" s="9"/>
      <c r="E6" s="9"/>
      <c r="F6" s="9"/>
      <c r="G6" s="9"/>
      <c r="H6" s="9"/>
      <c r="I6" s="20"/>
      <c r="J6" s="9"/>
      <c r="K6" s="9"/>
      <c r="L6" s="9"/>
      <c r="M6" s="9"/>
      <c r="N6" s="9"/>
    </row>
    <row r="7" spans="1:14">
      <c r="B7" s="11" t="s">
        <v>9</v>
      </c>
    </row>
    <row r="8" spans="1:14">
      <c r="B8" t="s">
        <v>10</v>
      </c>
      <c r="D8" s="67">
        <f>WACC!D20</f>
        <v>0.1139125</v>
      </c>
    </row>
    <row r="9" spans="1:14">
      <c r="B9" t="s">
        <v>11</v>
      </c>
      <c r="D9" s="67">
        <v>6.5000000000000002E-2</v>
      </c>
    </row>
    <row r="10" spans="1:14">
      <c r="J10">
        <v>1</v>
      </c>
      <c r="K10" s="12">
        <v>2</v>
      </c>
      <c r="L10">
        <v>3</v>
      </c>
      <c r="M10">
        <v>4</v>
      </c>
      <c r="N10">
        <v>5</v>
      </c>
    </row>
    <row r="11" spans="1:14">
      <c r="A11" t="s">
        <v>1</v>
      </c>
      <c r="B11" s="14" t="s">
        <v>12</v>
      </c>
      <c r="C11" s="10"/>
      <c r="D11" s="10"/>
      <c r="E11" s="16">
        <v>2021</v>
      </c>
      <c r="F11" s="16">
        <v>2022</v>
      </c>
      <c r="G11" s="16">
        <v>2023</v>
      </c>
      <c r="H11" s="16">
        <v>2024</v>
      </c>
      <c r="I11" s="35">
        <v>2025</v>
      </c>
      <c r="J11" s="22">
        <v>2026</v>
      </c>
      <c r="K11" s="22">
        <v>2027</v>
      </c>
      <c r="L11" s="22">
        <v>2028</v>
      </c>
      <c r="M11" s="22">
        <v>2029</v>
      </c>
      <c r="N11" s="22">
        <v>2030</v>
      </c>
    </row>
    <row r="12" spans="1:14">
      <c r="B12" s="15" t="s">
        <v>13</v>
      </c>
      <c r="E12" s="36">
        <v>2194.02</v>
      </c>
      <c r="F12" s="36">
        <v>2428.7199999999998</v>
      </c>
      <c r="G12" s="36">
        <v>2478.2800000000002</v>
      </c>
      <c r="H12" s="36">
        <v>3158.72</v>
      </c>
      <c r="I12" s="37">
        <v>4049.61</v>
      </c>
      <c r="J12" s="38">
        <f>I12*(1+Assumptions!B2)</f>
        <v>4535.5632000000005</v>
      </c>
      <c r="K12" s="38">
        <f>J12*(1+Assumptions!B3)</f>
        <v>5125.1864160000005</v>
      </c>
      <c r="L12" s="38">
        <f>K12*(1+Assumptions!B4)</f>
        <v>5791.4606500800001</v>
      </c>
      <c r="M12" s="38">
        <f>L12*(1+Assumptions!B5)</f>
        <v>6486.4359280896006</v>
      </c>
      <c r="N12" s="38">
        <f>M12*(1+Assumptions!B6)</f>
        <v>7199.9438801794577</v>
      </c>
    </row>
    <row r="13" spans="1:14">
      <c r="B13" t="s">
        <v>14</v>
      </c>
      <c r="E13" s="25"/>
      <c r="F13" s="39">
        <f>F12/E12-1</f>
        <v>0.10697258912863128</v>
      </c>
      <c r="G13" s="39">
        <f>G12/F12-1</f>
        <v>2.0405810468065555E-2</v>
      </c>
      <c r="H13" s="39">
        <f>H12/G12-1</f>
        <v>0.27456138935067842</v>
      </c>
      <c r="I13" s="40">
        <f>I12/H12-1</f>
        <v>0.28204145983183082</v>
      </c>
      <c r="J13" s="39">
        <f>J12/I12-1</f>
        <v>0.12000000000000011</v>
      </c>
      <c r="K13" s="39">
        <f t="shared" ref="K13:N13" si="0">K12/J12-1</f>
        <v>0.12999999999999989</v>
      </c>
      <c r="L13" s="39">
        <f t="shared" si="0"/>
        <v>0.12999999999999989</v>
      </c>
      <c r="M13" s="39">
        <f t="shared" si="0"/>
        <v>0.12000000000000011</v>
      </c>
      <c r="N13" s="39">
        <f t="shared" si="0"/>
        <v>0.1100000000000001</v>
      </c>
    </row>
    <row r="14" spans="1:14">
      <c r="E14" s="25"/>
      <c r="F14" s="25"/>
      <c r="G14" s="25"/>
      <c r="H14" s="25"/>
      <c r="I14" s="41"/>
      <c r="J14" s="25"/>
      <c r="K14" s="25"/>
      <c r="L14" s="25"/>
      <c r="M14" s="25"/>
      <c r="N14" s="25"/>
    </row>
    <row r="15" spans="1:14">
      <c r="B15" t="s">
        <v>15</v>
      </c>
      <c r="E15" s="38">
        <v>1805.59</v>
      </c>
      <c r="F15" s="38">
        <v>1913.3</v>
      </c>
      <c r="G15" s="38">
        <v>1929.21</v>
      </c>
      <c r="H15" s="38">
        <v>2535.83</v>
      </c>
      <c r="I15" s="42">
        <v>3345.61</v>
      </c>
      <c r="J15" s="29">
        <f>J12*Assumptions!B10</f>
        <v>2857.4048160000002</v>
      </c>
      <c r="K15" s="38">
        <f>K12*Assumptions!B10</f>
        <v>3228.8674420800003</v>
      </c>
      <c r="L15" s="43">
        <f>L12*Assumptions!B10</f>
        <v>3648.6202095504</v>
      </c>
      <c r="M15" s="30">
        <f>M12*Assumptions!B10</f>
        <v>4086.4546346964485</v>
      </c>
      <c r="N15" s="38">
        <f>N12*Assumptions!B10</f>
        <v>4535.9646445130584</v>
      </c>
    </row>
    <row r="16" spans="1:14">
      <c r="B16" t="s">
        <v>16</v>
      </c>
      <c r="E16" s="39">
        <f>E15/E12</f>
        <v>0.82295968131557595</v>
      </c>
      <c r="F16" s="39">
        <f t="shared" ref="F16:I16" si="1">F15/F12</f>
        <v>0.78778121809018742</v>
      </c>
      <c r="G16" s="39">
        <f t="shared" si="1"/>
        <v>0.77844714882902655</v>
      </c>
      <c r="H16" s="39">
        <f t="shared" si="1"/>
        <v>0.80280303414041132</v>
      </c>
      <c r="I16" s="40">
        <f t="shared" si="1"/>
        <v>0.82615609898237119</v>
      </c>
      <c r="J16" s="39">
        <f>J15/J12</f>
        <v>0.63</v>
      </c>
      <c r="K16" s="39">
        <f>K15/K12</f>
        <v>0.63</v>
      </c>
      <c r="L16" s="39">
        <f t="shared" ref="L16:N16" si="2">L15/L12</f>
        <v>0.63</v>
      </c>
      <c r="M16" s="39">
        <f t="shared" si="2"/>
        <v>0.63</v>
      </c>
      <c r="N16" s="39">
        <f t="shared" si="2"/>
        <v>0.63</v>
      </c>
    </row>
    <row r="17" spans="1:14">
      <c r="E17" s="25"/>
      <c r="F17" s="25"/>
      <c r="G17" s="25"/>
      <c r="H17" s="25"/>
      <c r="I17" s="41"/>
      <c r="J17" s="25"/>
      <c r="K17" s="25"/>
      <c r="L17" s="25"/>
      <c r="M17" s="25"/>
      <c r="N17" s="25"/>
    </row>
    <row r="18" spans="1:14">
      <c r="B18" t="s">
        <v>17</v>
      </c>
      <c r="E18" s="38">
        <v>423.19</v>
      </c>
      <c r="F18" s="38">
        <v>426.16</v>
      </c>
      <c r="G18" s="38">
        <v>446.69</v>
      </c>
      <c r="H18" s="38">
        <v>532.30999999999995</v>
      </c>
      <c r="I18" s="42">
        <v>825.39</v>
      </c>
      <c r="J18" s="30">
        <f>J15*Assumptions!B12</f>
        <v>714.35120400000005</v>
      </c>
      <c r="K18" s="38">
        <f>K15*Assumptions!B12</f>
        <v>807.21686052000007</v>
      </c>
      <c r="L18" s="30">
        <f>L15*Assumptions!B12</f>
        <v>912.15505238759999</v>
      </c>
      <c r="M18" s="38">
        <f>M15*Assumptions!B12</f>
        <v>1021.6136586741121</v>
      </c>
      <c r="N18" s="30">
        <f>N15*Assumptions!B12</f>
        <v>1133.9911611282646</v>
      </c>
    </row>
    <row r="19" spans="1:14">
      <c r="B19" t="s">
        <v>18</v>
      </c>
      <c r="E19" s="39">
        <f>E18/E15</f>
        <v>0.23437768264113115</v>
      </c>
      <c r="F19" s="39">
        <f t="shared" ref="F19:I19" si="3">F18/F15</f>
        <v>0.22273558772800922</v>
      </c>
      <c r="G19" s="39">
        <f t="shared" si="3"/>
        <v>0.23154037144738002</v>
      </c>
      <c r="H19" s="39">
        <f t="shared" si="3"/>
        <v>0.20991549118040245</v>
      </c>
      <c r="I19" s="40">
        <f t="shared" si="3"/>
        <v>0.2467083730620126</v>
      </c>
      <c r="J19" s="39">
        <f>J18/J15</f>
        <v>0.25</v>
      </c>
      <c r="K19" s="39">
        <f t="shared" ref="K19:N19" si="4">K18/K15</f>
        <v>0.25</v>
      </c>
      <c r="L19" s="39">
        <f t="shared" si="4"/>
        <v>0.25</v>
      </c>
      <c r="M19" s="39">
        <f t="shared" si="4"/>
        <v>0.25</v>
      </c>
      <c r="N19" s="39">
        <f t="shared" si="4"/>
        <v>0.25</v>
      </c>
    </row>
    <row r="20" spans="1:14">
      <c r="E20" s="25"/>
      <c r="F20" s="25"/>
      <c r="G20" s="25"/>
      <c r="H20" s="25"/>
      <c r="I20" s="41"/>
      <c r="J20" s="25"/>
      <c r="K20" s="25"/>
      <c r="L20" s="25"/>
      <c r="M20" s="25"/>
      <c r="N20" s="25"/>
    </row>
    <row r="21" spans="1:14">
      <c r="A21" t="s">
        <v>1</v>
      </c>
      <c r="B21" s="22" t="s">
        <v>19</v>
      </c>
      <c r="C21" s="9"/>
      <c r="D21" s="9"/>
      <c r="E21" s="44">
        <v>2021</v>
      </c>
      <c r="F21" s="44">
        <v>2022</v>
      </c>
      <c r="G21" s="44">
        <v>2023</v>
      </c>
      <c r="H21" s="44">
        <v>2024</v>
      </c>
      <c r="I21" s="51">
        <v>2025</v>
      </c>
      <c r="J21" s="44">
        <v>2026</v>
      </c>
      <c r="K21" s="44">
        <v>2027</v>
      </c>
      <c r="L21" s="44">
        <v>2028</v>
      </c>
      <c r="M21" s="44">
        <v>2029</v>
      </c>
      <c r="N21" s="44">
        <v>2030</v>
      </c>
    </row>
    <row r="22" spans="1:14">
      <c r="B22" t="s">
        <v>20</v>
      </c>
      <c r="E22" s="45">
        <v>55.41</v>
      </c>
      <c r="F22" s="45">
        <v>53.85</v>
      </c>
      <c r="G22" s="45">
        <v>53.34</v>
      </c>
      <c r="H22" s="45">
        <v>52.26</v>
      </c>
      <c r="I22" s="50">
        <v>58.41</v>
      </c>
      <c r="J22" s="52">
        <f>J12*Assumptions!B11</f>
        <v>90.711264000000014</v>
      </c>
      <c r="K22" s="52">
        <f>K12*Assumptions!B11</f>
        <v>102.50372832000001</v>
      </c>
      <c r="L22" s="52">
        <f>L12*Assumptions!B11</f>
        <v>115.82921300160001</v>
      </c>
      <c r="M22" s="52">
        <f>M12*Assumptions!B11</f>
        <v>129.72871856179202</v>
      </c>
      <c r="N22" s="52">
        <f>N12*Assumptions!B11</f>
        <v>143.99887760358916</v>
      </c>
    </row>
    <row r="23" spans="1:14">
      <c r="B23" t="s">
        <v>16</v>
      </c>
      <c r="E23" s="47">
        <f>E22/E12</f>
        <v>2.5255011349030545E-2</v>
      </c>
      <c r="F23" s="47">
        <f t="shared" ref="F23:I23" si="5">F22/F12</f>
        <v>2.2172172996475514E-2</v>
      </c>
      <c r="G23" s="47">
        <f t="shared" si="5"/>
        <v>2.1522991752344369E-2</v>
      </c>
      <c r="H23" s="47">
        <f t="shared" si="5"/>
        <v>1.6544676324587174E-2</v>
      </c>
      <c r="I23" s="48">
        <f t="shared" si="5"/>
        <v>1.4423611162556393E-2</v>
      </c>
      <c r="J23" s="47">
        <f>J22/J12</f>
        <v>0.02</v>
      </c>
      <c r="K23" s="47">
        <f t="shared" ref="K23:N23" si="6">K22/K12</f>
        <v>0.02</v>
      </c>
      <c r="L23" s="47">
        <f t="shared" si="6"/>
        <v>0.02</v>
      </c>
      <c r="M23" s="47">
        <f t="shared" si="6"/>
        <v>0.02</v>
      </c>
      <c r="N23" s="47">
        <f t="shared" si="6"/>
        <v>0.02</v>
      </c>
    </row>
    <row r="24" spans="1:14">
      <c r="E24" s="46"/>
      <c r="F24" s="46"/>
      <c r="G24" s="46"/>
      <c r="H24" s="46"/>
      <c r="I24" s="49"/>
      <c r="J24" s="46"/>
      <c r="K24" s="46"/>
      <c r="L24" s="46"/>
      <c r="M24" s="46"/>
      <c r="N24" s="46"/>
    </row>
    <row r="25" spans="1:14">
      <c r="B25" t="s">
        <v>21</v>
      </c>
      <c r="E25" s="45">
        <v>-12</v>
      </c>
      <c r="F25" s="45">
        <v>-10</v>
      </c>
      <c r="G25" s="45">
        <v>-14</v>
      </c>
      <c r="H25" s="45">
        <v>-19</v>
      </c>
      <c r="I25" s="50">
        <v>-45</v>
      </c>
      <c r="J25" s="52">
        <f>J12*Assumptions!B13</f>
        <v>90.711264000000014</v>
      </c>
      <c r="K25" s="52">
        <f>K12*Assumptions!B13</f>
        <v>102.50372832000001</v>
      </c>
      <c r="L25" s="52">
        <f>L12*Assumptions!B13</f>
        <v>115.82921300160001</v>
      </c>
      <c r="M25" s="52">
        <f>M12*Assumptions!B13</f>
        <v>129.72871856179202</v>
      </c>
      <c r="N25" s="52">
        <f>N12*Assumptions!B13</f>
        <v>143.99887760358916</v>
      </c>
    </row>
    <row r="26" spans="1:14">
      <c r="B26" t="s">
        <v>16</v>
      </c>
      <c r="E26" s="47">
        <f>E25/E12</f>
        <v>-5.4694123116471134E-3</v>
      </c>
      <c r="F26" s="47">
        <f t="shared" ref="F26:I26" si="7">F25/F12</f>
        <v>-4.1173951711189439E-3</v>
      </c>
      <c r="G26" s="47">
        <f t="shared" si="7"/>
        <v>-5.6490792000903848E-3</v>
      </c>
      <c r="H26" s="47">
        <f t="shared" si="7"/>
        <v>-6.0150947219126741E-3</v>
      </c>
      <c r="I26" s="48">
        <f t="shared" si="7"/>
        <v>-1.1112181173001844E-2</v>
      </c>
      <c r="J26" s="47">
        <f>J25/J12</f>
        <v>0.02</v>
      </c>
      <c r="K26" s="47">
        <f t="shared" ref="K26:N26" si="8">K25/K12</f>
        <v>0.02</v>
      </c>
      <c r="L26" s="47">
        <f t="shared" si="8"/>
        <v>0.02</v>
      </c>
      <c r="M26" s="47">
        <f t="shared" si="8"/>
        <v>0.02</v>
      </c>
      <c r="N26" s="47">
        <f t="shared" si="8"/>
        <v>0.02</v>
      </c>
    </row>
    <row r="27" spans="1:14">
      <c r="E27" s="46"/>
      <c r="F27" s="46"/>
      <c r="G27" s="46"/>
      <c r="H27" s="46"/>
      <c r="I27" s="49"/>
      <c r="J27" s="53"/>
      <c r="K27" s="46"/>
      <c r="L27" s="46"/>
      <c r="M27" s="46"/>
      <c r="N27" s="46"/>
    </row>
    <row r="28" spans="1:14">
      <c r="B28" s="25" t="s">
        <v>22</v>
      </c>
      <c r="E28" s="45">
        <v>-26</v>
      </c>
      <c r="F28" s="45">
        <v>1</v>
      </c>
      <c r="G28" s="45">
        <v>-102</v>
      </c>
      <c r="H28" s="45">
        <v>131</v>
      </c>
      <c r="I28" s="50">
        <v>-33</v>
      </c>
      <c r="J28" s="46"/>
      <c r="K28" s="46"/>
      <c r="L28" s="46"/>
      <c r="M28" s="46"/>
      <c r="N28" s="46"/>
    </row>
    <row r="29" spans="1:14">
      <c r="B29" t="s">
        <v>16</v>
      </c>
      <c r="E29" s="47">
        <f>E28/E12</f>
        <v>-1.1850393341902079E-2</v>
      </c>
      <c r="F29" s="47">
        <f t="shared" ref="F29:I29" si="9">F28/F12</f>
        <v>4.1173951711189437E-4</v>
      </c>
      <c r="G29" s="47">
        <f t="shared" si="9"/>
        <v>-4.1157577029229946E-2</v>
      </c>
      <c r="H29" s="47">
        <f t="shared" si="9"/>
        <v>4.1472495187924223E-2</v>
      </c>
      <c r="I29" s="48">
        <f t="shared" si="9"/>
        <v>-8.1489328602013522E-3</v>
      </c>
      <c r="J29" s="46"/>
      <c r="K29" s="46"/>
      <c r="L29" s="46"/>
      <c r="M29" s="46"/>
      <c r="N29" s="46"/>
    </row>
    <row r="30" spans="1:14">
      <c r="I30" s="23"/>
    </row>
    <row r="31" spans="1:14">
      <c r="A31" t="s">
        <v>1</v>
      </c>
      <c r="B31" s="10" t="s">
        <v>23</v>
      </c>
      <c r="C31" s="10"/>
      <c r="D31" s="10"/>
      <c r="E31" s="21">
        <v>2021</v>
      </c>
      <c r="F31" s="21">
        <v>2022</v>
      </c>
      <c r="G31" s="21">
        <v>2023</v>
      </c>
      <c r="H31" s="21">
        <v>2024</v>
      </c>
      <c r="I31" s="24">
        <v>2025</v>
      </c>
      <c r="J31" s="21">
        <v>2026</v>
      </c>
      <c r="K31" s="21">
        <v>2027</v>
      </c>
      <c r="L31" s="21">
        <v>2028</v>
      </c>
      <c r="M31" s="21">
        <v>2029</v>
      </c>
      <c r="N31" s="21">
        <v>2030</v>
      </c>
    </row>
    <row r="32" spans="1:14">
      <c r="B32" t="s">
        <v>13</v>
      </c>
      <c r="E32" s="54">
        <f>E12</f>
        <v>2194.02</v>
      </c>
      <c r="F32" s="54">
        <f t="shared" ref="F32:I32" si="10">F12</f>
        <v>2428.7199999999998</v>
      </c>
      <c r="G32" s="54">
        <f t="shared" si="10"/>
        <v>2478.2800000000002</v>
      </c>
      <c r="H32" s="54">
        <f t="shared" si="10"/>
        <v>3158.72</v>
      </c>
      <c r="I32" s="55">
        <f t="shared" si="10"/>
        <v>4049.61</v>
      </c>
      <c r="J32" s="56">
        <f>I32*(1+J33)</f>
        <v>4535.5632000000005</v>
      </c>
      <c r="K32" s="56">
        <f t="shared" ref="K32:N32" si="11">J32*(1+K33)</f>
        <v>5125.1864160000005</v>
      </c>
      <c r="L32" s="56">
        <f t="shared" si="11"/>
        <v>5791.4606500800001</v>
      </c>
      <c r="M32" s="56">
        <f t="shared" si="11"/>
        <v>6486.4359280896006</v>
      </c>
      <c r="N32" s="56">
        <f t="shared" si="11"/>
        <v>7199.9438801794577</v>
      </c>
    </row>
    <row r="33" spans="2:14">
      <c r="B33" t="s">
        <v>14</v>
      </c>
      <c r="E33" s="46"/>
      <c r="F33" s="47">
        <f>F32/E32-1</f>
        <v>0.10697258912863128</v>
      </c>
      <c r="G33" s="47">
        <f t="shared" ref="G33:I33" si="12">G32/F32-1</f>
        <v>2.0405810468065555E-2</v>
      </c>
      <c r="H33" s="47">
        <f t="shared" si="12"/>
        <v>0.27456138935067842</v>
      </c>
      <c r="I33" s="48">
        <f t="shared" si="12"/>
        <v>0.28204145983183082</v>
      </c>
      <c r="J33" s="57">
        <f>J13</f>
        <v>0.12000000000000011</v>
      </c>
      <c r="K33" s="57">
        <f t="shared" ref="K33:N33" si="13">K13</f>
        <v>0.12999999999999989</v>
      </c>
      <c r="L33" s="57">
        <f t="shared" si="13"/>
        <v>0.12999999999999989</v>
      </c>
      <c r="M33" s="57">
        <f t="shared" si="13"/>
        <v>0.12000000000000011</v>
      </c>
      <c r="N33" s="57">
        <f t="shared" si="13"/>
        <v>0.1100000000000001</v>
      </c>
    </row>
    <row r="34" spans="2:14">
      <c r="E34" s="46"/>
      <c r="F34" s="46"/>
      <c r="G34" s="46"/>
      <c r="H34" s="46"/>
      <c r="I34" s="49"/>
      <c r="J34" s="46"/>
      <c r="K34" s="46"/>
      <c r="L34" s="46"/>
      <c r="M34" s="46"/>
      <c r="N34" s="46"/>
    </row>
    <row r="35" spans="2:14">
      <c r="B35" t="s">
        <v>15</v>
      </c>
      <c r="E35" s="54">
        <f>E15</f>
        <v>1805.59</v>
      </c>
      <c r="F35" s="54">
        <f t="shared" ref="F35:I35" si="14">F15</f>
        <v>1913.3</v>
      </c>
      <c r="G35" s="54">
        <f t="shared" si="14"/>
        <v>1929.21</v>
      </c>
      <c r="H35" s="54">
        <f t="shared" si="14"/>
        <v>2535.83</v>
      </c>
      <c r="I35" s="55">
        <f t="shared" si="14"/>
        <v>3345.61</v>
      </c>
      <c r="J35" s="56">
        <f>J32*J36</f>
        <v>2857.4048160000002</v>
      </c>
      <c r="K35" s="56">
        <f t="shared" ref="K35:N35" si="15">K32*K36</f>
        <v>3228.8674420800003</v>
      </c>
      <c r="L35" s="56">
        <f t="shared" si="15"/>
        <v>3648.6202095504</v>
      </c>
      <c r="M35" s="56">
        <f t="shared" si="15"/>
        <v>4086.4546346964485</v>
      </c>
      <c r="N35" s="56">
        <f t="shared" si="15"/>
        <v>4535.9646445130584</v>
      </c>
    </row>
    <row r="36" spans="2:14">
      <c r="B36" t="s">
        <v>24</v>
      </c>
      <c r="E36" s="47">
        <f>E35/E32</f>
        <v>0.82295968131557595</v>
      </c>
      <c r="F36" s="47">
        <f t="shared" ref="F36:I36" si="16">F35/F32</f>
        <v>0.78778121809018742</v>
      </c>
      <c r="G36" s="47">
        <f t="shared" si="16"/>
        <v>0.77844714882902655</v>
      </c>
      <c r="H36" s="47">
        <f t="shared" si="16"/>
        <v>0.80280303414041132</v>
      </c>
      <c r="I36" s="48">
        <f t="shared" si="16"/>
        <v>0.82615609898237119</v>
      </c>
      <c r="J36" s="57">
        <f>J16</f>
        <v>0.63</v>
      </c>
      <c r="K36" s="57">
        <f t="shared" ref="K36:N36" si="17">K16</f>
        <v>0.63</v>
      </c>
      <c r="L36" s="57">
        <f t="shared" si="17"/>
        <v>0.63</v>
      </c>
      <c r="M36" s="57">
        <f t="shared" si="17"/>
        <v>0.63</v>
      </c>
      <c r="N36" s="57">
        <f t="shared" si="17"/>
        <v>0.63</v>
      </c>
    </row>
    <row r="37" spans="2:14">
      <c r="E37" s="46"/>
      <c r="F37" s="46"/>
      <c r="G37" s="46"/>
      <c r="H37" s="46"/>
      <c r="I37" s="49"/>
      <c r="J37" s="46"/>
      <c r="K37" s="46"/>
      <c r="L37" s="46"/>
      <c r="M37" s="46"/>
      <c r="N37" s="46"/>
    </row>
    <row r="38" spans="2:14">
      <c r="B38" t="s">
        <v>17</v>
      </c>
      <c r="E38" s="54">
        <f>E18</f>
        <v>423.19</v>
      </c>
      <c r="F38" s="54">
        <f t="shared" ref="F38:I38" si="18">F18</f>
        <v>426.16</v>
      </c>
      <c r="G38" s="54">
        <f t="shared" si="18"/>
        <v>446.69</v>
      </c>
      <c r="H38" s="54">
        <f t="shared" si="18"/>
        <v>532.30999999999995</v>
      </c>
      <c r="I38" s="55">
        <f t="shared" si="18"/>
        <v>825.39</v>
      </c>
      <c r="J38" s="56">
        <f>J35*J39</f>
        <v>714.35120400000005</v>
      </c>
      <c r="K38" s="56">
        <f t="shared" ref="K38:N38" si="19">K35*K39</f>
        <v>807.21686052000007</v>
      </c>
      <c r="L38" s="56">
        <f t="shared" si="19"/>
        <v>912.15505238759999</v>
      </c>
      <c r="M38" s="56">
        <f t="shared" si="19"/>
        <v>1021.6136586741121</v>
      </c>
      <c r="N38" s="56">
        <f t="shared" si="19"/>
        <v>1133.9911611282646</v>
      </c>
    </row>
    <row r="39" spans="2:14">
      <c r="B39" t="s">
        <v>18</v>
      </c>
      <c r="E39" s="47">
        <f>E38/E35</f>
        <v>0.23437768264113115</v>
      </c>
      <c r="F39" s="47">
        <f t="shared" ref="F39:I39" si="20">F38/F35</f>
        <v>0.22273558772800922</v>
      </c>
      <c r="G39" s="47">
        <f t="shared" si="20"/>
        <v>0.23154037144738002</v>
      </c>
      <c r="H39" s="47">
        <f t="shared" si="20"/>
        <v>0.20991549118040245</v>
      </c>
      <c r="I39" s="48">
        <f t="shared" si="20"/>
        <v>0.2467083730620126</v>
      </c>
      <c r="J39" s="57">
        <f>J19</f>
        <v>0.25</v>
      </c>
      <c r="K39" s="57">
        <f t="shared" ref="K39:N39" si="21">K19</f>
        <v>0.25</v>
      </c>
      <c r="L39" s="57">
        <f t="shared" si="21"/>
        <v>0.25</v>
      </c>
      <c r="M39" s="57">
        <f t="shared" si="21"/>
        <v>0.25</v>
      </c>
      <c r="N39" s="57">
        <f t="shared" si="21"/>
        <v>0.25</v>
      </c>
    </row>
    <row r="40" spans="2:14">
      <c r="I40" s="23"/>
    </row>
    <row r="41" spans="2:14">
      <c r="B41" s="32" t="s">
        <v>25</v>
      </c>
      <c r="C41" s="33"/>
      <c r="D41" s="33"/>
      <c r="E41" s="33"/>
      <c r="F41" s="33"/>
      <c r="G41" s="33"/>
      <c r="H41" s="33"/>
      <c r="I41" s="34"/>
      <c r="J41" s="58">
        <f>J35-J38</f>
        <v>2143.0536120000002</v>
      </c>
      <c r="K41" s="58">
        <f t="shared" ref="K41:N41" si="22">K35-K38</f>
        <v>2421.6505815600003</v>
      </c>
      <c r="L41" s="58">
        <f t="shared" si="22"/>
        <v>2736.4651571628001</v>
      </c>
      <c r="M41" s="58">
        <f t="shared" si="22"/>
        <v>3064.8409760223362</v>
      </c>
      <c r="N41" s="58">
        <f t="shared" si="22"/>
        <v>3401.9734833847938</v>
      </c>
    </row>
    <row r="42" spans="2:14">
      <c r="I42" s="23"/>
      <c r="J42" s="46"/>
      <c r="K42" s="46"/>
      <c r="L42" s="46"/>
      <c r="M42" s="46"/>
      <c r="N42" s="46"/>
    </row>
    <row r="43" spans="2:14">
      <c r="B43" t="s">
        <v>20</v>
      </c>
      <c r="I43" s="23"/>
      <c r="J43" s="54">
        <f>J22</f>
        <v>90.711264000000014</v>
      </c>
      <c r="K43" s="54">
        <f t="shared" ref="K43:N43" si="23">K22</f>
        <v>102.50372832000001</v>
      </c>
      <c r="L43" s="54">
        <f t="shared" si="23"/>
        <v>115.82921300160001</v>
      </c>
      <c r="M43" s="54">
        <f t="shared" si="23"/>
        <v>129.72871856179202</v>
      </c>
      <c r="N43" s="54">
        <f t="shared" si="23"/>
        <v>143.99887760358916</v>
      </c>
    </row>
    <row r="44" spans="2:14">
      <c r="B44" t="s">
        <v>16</v>
      </c>
      <c r="I44" s="23"/>
      <c r="J44" s="47">
        <f>J43/J32</f>
        <v>0.02</v>
      </c>
      <c r="K44" s="47">
        <f t="shared" ref="K44:N44" si="24">K43/K32</f>
        <v>0.02</v>
      </c>
      <c r="L44" s="47">
        <f t="shared" si="24"/>
        <v>0.02</v>
      </c>
      <c r="M44" s="47">
        <f t="shared" si="24"/>
        <v>0.02</v>
      </c>
      <c r="N44" s="47">
        <f t="shared" si="24"/>
        <v>0.02</v>
      </c>
    </row>
    <row r="45" spans="2:14">
      <c r="I45" s="23"/>
      <c r="J45" s="46"/>
      <c r="K45" s="46"/>
      <c r="L45" s="46"/>
      <c r="M45" s="46"/>
      <c r="N45" s="46"/>
    </row>
    <row r="46" spans="2:14">
      <c r="B46" t="s">
        <v>21</v>
      </c>
      <c r="I46" s="23"/>
      <c r="J46" s="54">
        <f>J25</f>
        <v>90.711264000000014</v>
      </c>
      <c r="K46" s="54">
        <f t="shared" ref="K46:N46" si="25">K25</f>
        <v>102.50372832000001</v>
      </c>
      <c r="L46" s="54">
        <f t="shared" si="25"/>
        <v>115.82921300160001</v>
      </c>
      <c r="M46" s="54">
        <f t="shared" si="25"/>
        <v>129.72871856179202</v>
      </c>
      <c r="N46" s="54">
        <f t="shared" si="25"/>
        <v>143.99887760358916</v>
      </c>
    </row>
    <row r="47" spans="2:14">
      <c r="B47" t="s">
        <v>16</v>
      </c>
      <c r="F47" s="12"/>
      <c r="I47" s="23"/>
      <c r="J47" s="47">
        <f>J46/J32</f>
        <v>0.02</v>
      </c>
      <c r="K47" s="47">
        <f t="shared" ref="K47:N47" si="26">K46/K32</f>
        <v>0.02</v>
      </c>
      <c r="L47" s="47">
        <f t="shared" si="26"/>
        <v>0.02</v>
      </c>
      <c r="M47" s="47">
        <f t="shared" si="26"/>
        <v>0.02</v>
      </c>
      <c r="N47" s="47">
        <f t="shared" si="26"/>
        <v>0.02</v>
      </c>
    </row>
    <row r="48" spans="2:14">
      <c r="I48" s="23"/>
      <c r="J48" s="46"/>
      <c r="K48" s="46"/>
      <c r="L48" s="46"/>
      <c r="M48" s="46"/>
      <c r="N48" s="46"/>
    </row>
    <row r="49" spans="1:16">
      <c r="B49" s="25" t="s">
        <v>22</v>
      </c>
      <c r="I49" s="23"/>
      <c r="J49" s="56">
        <f>J50*J32</f>
        <v>-11.843889596138158</v>
      </c>
      <c r="K49" s="56">
        <f t="shared" ref="K49:N49" si="27">K50*K32</f>
        <v>-13.383595243636119</v>
      </c>
      <c r="L49" s="56">
        <f t="shared" si="27"/>
        <v>-15.123462625308814</v>
      </c>
      <c r="M49" s="56">
        <f t="shared" si="27"/>
        <v>-16.938278140345872</v>
      </c>
      <c r="N49" s="56">
        <f t="shared" si="27"/>
        <v>-18.80148873578392</v>
      </c>
    </row>
    <row r="50" spans="1:16">
      <c r="B50" t="s">
        <v>26</v>
      </c>
      <c r="I50" s="23"/>
      <c r="J50" s="57">
        <f>AVERAGE(G29:I29)</f>
        <v>-2.6113382338356916E-3</v>
      </c>
      <c r="K50" s="57">
        <f>AVERAGE(G29:I29)</f>
        <v>-2.6113382338356916E-3</v>
      </c>
      <c r="L50" s="57">
        <f>AVERAGE(G29:I29)</f>
        <v>-2.6113382338356916E-3</v>
      </c>
      <c r="M50" s="57">
        <f>AVERAGE(G29:I29)</f>
        <v>-2.6113382338356916E-3</v>
      </c>
      <c r="N50" s="57">
        <f>AVERAGE(G29:I29)</f>
        <v>-2.6113382338356916E-3</v>
      </c>
    </row>
    <row r="51" spans="1:16">
      <c r="I51" s="23"/>
      <c r="J51" s="46"/>
      <c r="K51" s="46"/>
      <c r="L51" s="46"/>
      <c r="M51" s="46"/>
      <c r="N51" s="46"/>
    </row>
    <row r="52" spans="1:16">
      <c r="B52" s="70" t="s">
        <v>27</v>
      </c>
      <c r="C52" s="71"/>
      <c r="D52" s="33"/>
      <c r="E52" s="33"/>
      <c r="F52" s="33"/>
      <c r="G52" s="33"/>
      <c r="H52" s="33"/>
      <c r="I52" s="34"/>
      <c r="J52" s="58">
        <f>J41+J43-J46-J49</f>
        <v>2154.8975015961382</v>
      </c>
      <c r="K52" s="58">
        <f t="shared" ref="K52:N52" si="28">K41+K43-K46-K49</f>
        <v>2435.0341768036365</v>
      </c>
      <c r="L52" s="58">
        <f t="shared" si="28"/>
        <v>2751.5886197881091</v>
      </c>
      <c r="M52" s="58">
        <f t="shared" si="28"/>
        <v>3081.7792541626823</v>
      </c>
      <c r="N52" s="72">
        <f t="shared" si="28"/>
        <v>3420.7749721205778</v>
      </c>
      <c r="O52" s="12"/>
      <c r="P52" s="12"/>
    </row>
    <row r="53" spans="1:16">
      <c r="B53" s="75" t="s">
        <v>28</v>
      </c>
      <c r="C53" s="76"/>
      <c r="D53" s="74"/>
      <c r="E53" s="74"/>
      <c r="F53" s="74"/>
      <c r="G53" s="74"/>
      <c r="H53" s="74"/>
      <c r="I53" s="77"/>
      <c r="J53" s="84">
        <f>J52/(1+D8)^J10</f>
        <v>1934.5303168751029</v>
      </c>
      <c r="K53" s="84">
        <f>K52/(1+D8)^K10</f>
        <v>1962.4694561456722</v>
      </c>
      <c r="L53" s="84">
        <f>L52/(1+D8)^L10</f>
        <v>1990.8121018882625</v>
      </c>
      <c r="M53" s="84">
        <f>M52/(1+D8)^M10</f>
        <v>2001.6918331689913</v>
      </c>
      <c r="N53" s="84">
        <f>N52/(1+D8)^N10</f>
        <v>1994.6611020323235</v>
      </c>
    </row>
    <row r="55" spans="1:16">
      <c r="A55" t="s">
        <v>1</v>
      </c>
      <c r="B55" s="25" t="s">
        <v>29</v>
      </c>
      <c r="N55" s="78">
        <f>(N52*(1+D9)/(D8-D9))</f>
        <v>74482.501309653264</v>
      </c>
    </row>
    <row r="56" spans="1:16">
      <c r="B56" s="73" t="s">
        <v>30</v>
      </c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83">
        <f>N55/(1+D8)^N10</f>
        <v>43430.903627179643</v>
      </c>
    </row>
    <row r="57" spans="1:16">
      <c r="B57" s="59" t="s">
        <v>31</v>
      </c>
      <c r="N57" s="82">
        <f>SUM(J53:N53,N56)</f>
        <v>53315.06843729</v>
      </c>
    </row>
    <row r="58" spans="1:16">
      <c r="B58" t="s">
        <v>32</v>
      </c>
      <c r="N58" s="79">
        <v>8257</v>
      </c>
    </row>
    <row r="59" spans="1:16">
      <c r="B59" s="17" t="s">
        <v>33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80">
        <v>0</v>
      </c>
    </row>
    <row r="60" spans="1:16">
      <c r="B60" s="2" t="s">
        <v>34</v>
      </c>
      <c r="N60" s="82">
        <f>N57+N58-N59</f>
        <v>61572.06843729</v>
      </c>
    </row>
    <row r="61" spans="1:16">
      <c r="B61" s="17" t="s">
        <v>35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81">
        <v>21.36</v>
      </c>
    </row>
    <row r="62" spans="1:16">
      <c r="A62" t="s">
        <v>1</v>
      </c>
      <c r="B62" s="85" t="s">
        <v>36</v>
      </c>
      <c r="C62" s="6"/>
      <c r="D62" s="6"/>
      <c r="E62" s="6"/>
      <c r="F62" s="6"/>
      <c r="G62" s="6"/>
      <c r="H62" s="6"/>
      <c r="I62" s="86"/>
      <c r="J62" s="6"/>
      <c r="K62" s="6"/>
      <c r="L62" s="6"/>
      <c r="M62" s="6"/>
      <c r="N62" s="90">
        <f>N60/N61</f>
        <v>2882.587473655899</v>
      </c>
    </row>
    <row r="67" spans="2:2">
      <c r="B67" s="4"/>
    </row>
    <row r="72" spans="2:2">
      <c r="B72" s="93"/>
    </row>
  </sheetData>
  <mergeCells count="1">
    <mergeCell ref="B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4B3F-5721-495B-A537-2DCD1BEF4E09}">
  <dimension ref="A2:I20"/>
  <sheetViews>
    <sheetView showGridLines="0" workbookViewId="0">
      <selection activeCell="D20" sqref="D20"/>
    </sheetView>
  </sheetViews>
  <sheetFormatPr defaultRowHeight="15"/>
  <cols>
    <col min="1" max="1" width="1.7109375" bestFit="1" customWidth="1"/>
    <col min="2" max="2" width="12.85546875" customWidth="1"/>
    <col min="3" max="3" width="12.7109375" bestFit="1" customWidth="1"/>
    <col min="4" max="4" width="13.85546875" bestFit="1" customWidth="1"/>
    <col min="5" max="5" width="10.140625" bestFit="1" customWidth="1"/>
  </cols>
  <sheetData>
    <row r="2" spans="1:9">
      <c r="A2" t="s">
        <v>1</v>
      </c>
      <c r="B2" s="10" t="s">
        <v>10</v>
      </c>
      <c r="C2" s="28"/>
      <c r="D2" s="28"/>
      <c r="E2" s="28"/>
      <c r="F2" s="28"/>
      <c r="G2" s="28"/>
      <c r="H2" s="28"/>
      <c r="I2" s="28"/>
    </row>
    <row r="3" spans="1:9">
      <c r="B3" s="25" t="s">
        <v>37</v>
      </c>
    </row>
    <row r="4" spans="1:9">
      <c r="B4" s="25" t="s">
        <v>38</v>
      </c>
    </row>
    <row r="6" spans="1:9">
      <c r="B6" t="s">
        <v>39</v>
      </c>
      <c r="D6">
        <v>0</v>
      </c>
    </row>
    <row r="7" spans="1:9">
      <c r="B7" t="s">
        <v>40</v>
      </c>
      <c r="D7" s="62">
        <v>0.05</v>
      </c>
    </row>
    <row r="8" spans="1:9">
      <c r="B8" t="s">
        <v>41</v>
      </c>
      <c r="D8" s="68">
        <v>0.08</v>
      </c>
    </row>
    <row r="9" spans="1:9">
      <c r="B9" t="s">
        <v>42</v>
      </c>
      <c r="D9" s="62">
        <v>0.25</v>
      </c>
    </row>
    <row r="11" spans="1:9">
      <c r="B11" t="s">
        <v>34</v>
      </c>
      <c r="D11" s="31">
        <v>99111</v>
      </c>
    </row>
    <row r="12" spans="1:9">
      <c r="B12" t="s">
        <v>43</v>
      </c>
      <c r="D12" s="69">
        <v>0.95</v>
      </c>
    </row>
    <row r="13" spans="1:9">
      <c r="B13" s="5" t="s">
        <v>44</v>
      </c>
      <c r="D13" s="4">
        <f>D14+(D15*D16)</f>
        <v>0.11675000000000001</v>
      </c>
    </row>
    <row r="14" spans="1:9">
      <c r="B14" t="s">
        <v>45</v>
      </c>
      <c r="D14" s="61">
        <v>7.0000000000000007E-2</v>
      </c>
    </row>
    <row r="15" spans="1:9">
      <c r="B15" t="s">
        <v>46</v>
      </c>
      <c r="D15" s="60">
        <v>0.85</v>
      </c>
    </row>
    <row r="16" spans="1:9">
      <c r="B16" t="s">
        <v>47</v>
      </c>
      <c r="D16" s="63">
        <v>5.5E-2</v>
      </c>
    </row>
    <row r="18" spans="1:5">
      <c r="B18" t="s">
        <v>48</v>
      </c>
      <c r="D18" s="31">
        <f>D11+D6</f>
        <v>99111</v>
      </c>
    </row>
    <row r="20" spans="1:5">
      <c r="A20" t="s">
        <v>1</v>
      </c>
      <c r="B20" s="66" t="s">
        <v>49</v>
      </c>
      <c r="C20" s="64"/>
      <c r="D20" s="65">
        <f>(D12*D13)+(D7*D8*(1-D9))</f>
        <v>0.1139125</v>
      </c>
      <c r="E2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BA64-08B3-4818-BA40-E28B6807B3A5}">
  <dimension ref="A1:B16"/>
  <sheetViews>
    <sheetView showGridLines="0" workbookViewId="0">
      <selection activeCell="B10" sqref="B10"/>
    </sheetView>
  </sheetViews>
  <sheetFormatPr defaultRowHeight="15"/>
  <cols>
    <col min="1" max="1" width="24.42578125" customWidth="1"/>
    <col min="2" max="2" width="12.7109375" customWidth="1"/>
  </cols>
  <sheetData>
    <row r="1" spans="1:2">
      <c r="A1" s="3" t="s">
        <v>50</v>
      </c>
    </row>
    <row r="2" spans="1:2">
      <c r="A2" t="s">
        <v>51</v>
      </c>
      <c r="B2" s="1">
        <v>0.12</v>
      </c>
    </row>
    <row r="3" spans="1:2">
      <c r="A3" t="s">
        <v>52</v>
      </c>
      <c r="B3" s="1">
        <v>0.13</v>
      </c>
    </row>
    <row r="4" spans="1:2">
      <c r="A4" t="s">
        <v>53</v>
      </c>
      <c r="B4" s="1">
        <v>0.13</v>
      </c>
    </row>
    <row r="5" spans="1:2">
      <c r="A5" t="s">
        <v>54</v>
      </c>
      <c r="B5" s="1">
        <v>0.12</v>
      </c>
    </row>
    <row r="6" spans="1:2">
      <c r="A6" t="s">
        <v>55</v>
      </c>
      <c r="B6" s="1">
        <v>0.11</v>
      </c>
    </row>
    <row r="7" spans="1:2">
      <c r="A7" t="s">
        <v>56</v>
      </c>
      <c r="B7">
        <v>46</v>
      </c>
    </row>
    <row r="9" spans="1:2">
      <c r="A9" s="91" t="s">
        <v>57</v>
      </c>
    </row>
    <row r="10" spans="1:2">
      <c r="A10" t="s">
        <v>58</v>
      </c>
      <c r="B10" s="1">
        <v>0.63</v>
      </c>
    </row>
    <row r="11" spans="1:2" ht="15.75" customHeight="1">
      <c r="A11" s="5" t="s">
        <v>59</v>
      </c>
      <c r="B11" s="1">
        <v>0.02</v>
      </c>
    </row>
    <row r="12" spans="1:2">
      <c r="A12" t="s">
        <v>42</v>
      </c>
      <c r="B12" s="1">
        <v>0.25</v>
      </c>
    </row>
    <row r="13" spans="1:2">
      <c r="A13" t="s">
        <v>60</v>
      </c>
      <c r="B13" s="1">
        <v>0.02</v>
      </c>
    </row>
    <row r="14" spans="1:2">
      <c r="A14" t="s">
        <v>61</v>
      </c>
      <c r="B14" s="1">
        <v>0</v>
      </c>
    </row>
    <row r="16" spans="1:2">
      <c r="A16" s="3" t="s">
        <v>62</v>
      </c>
      <c r="B16" s="92">
        <v>6.5000000000000002E-2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2026-03-27T16:01:06Z</dcterms:created>
  <dcterms:modified xsi:type="dcterms:W3CDTF">2026-03-28T06:39:05Z</dcterms:modified>
  <cp:category/>
  <cp:contentStatus/>
</cp:coreProperties>
</file>